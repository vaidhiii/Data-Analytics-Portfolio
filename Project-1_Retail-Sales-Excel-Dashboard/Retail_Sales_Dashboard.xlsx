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my projects\excel project\Retail sales\"/>
    </mc:Choice>
  </mc:AlternateContent>
  <xr:revisionPtr revIDLastSave="0" documentId="13_ncr:1_{741E4D12-F3B4-44E3-9B57-CBD66D94A012}" xr6:coauthVersionLast="47" xr6:coauthVersionMax="47" xr10:uidLastSave="{00000000-0000-0000-0000-000000000000}"/>
  <bookViews>
    <workbookView xWindow="-108" yWindow="-108" windowWidth="23256" windowHeight="13176" activeTab="5" xr2:uid="{06C05BC5-EF07-4D76-A393-2752ACF1FFAD}"/>
  </bookViews>
  <sheets>
    <sheet name="Dataset" sheetId="2" r:id="rId1"/>
    <sheet name="sales_cities" sheetId="3" r:id="rId2"/>
    <sheet name="sales_product" sheetId="4" r:id="rId3"/>
    <sheet name="sales_customertype" sheetId="5" r:id="rId4"/>
    <sheet name="daily_salestrend" sheetId="6" r:id="rId5"/>
    <sheet name="Dashboard" sheetId="8" r:id="rId6"/>
  </sheets>
  <definedNames>
    <definedName name="ExternalData_1" localSheetId="0" hidden="1">Dataset!$A$1:$I$31</definedName>
    <definedName name="Slicer_City">#N/A</definedName>
    <definedName name="Slicer_Customer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EC684F-DF76-457F-B78C-2C6D77335B75}"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<sst xmlns="http://schemas.openxmlformats.org/spreadsheetml/2006/main" count="157" uniqueCount="30">
  <si>
    <t>Order_ID</t>
  </si>
  <si>
    <t>Date</t>
  </si>
  <si>
    <t>City</t>
  </si>
  <si>
    <t>Customer_Type</t>
  </si>
  <si>
    <t>Product</t>
  </si>
  <si>
    <t>Category</t>
  </si>
  <si>
    <t>Quantity</t>
  </si>
  <si>
    <t>Unit_Price</t>
  </si>
  <si>
    <t>Total_Sales</t>
  </si>
  <si>
    <t>Delhi</t>
  </si>
  <si>
    <t>New</t>
  </si>
  <si>
    <t>Laptop</t>
  </si>
  <si>
    <t>Electronics</t>
  </si>
  <si>
    <t>Mumbai</t>
  </si>
  <si>
    <t>Returning</t>
  </si>
  <si>
    <t>Phone</t>
  </si>
  <si>
    <t>Bangalore</t>
  </si>
  <si>
    <t>VIP</t>
  </si>
  <si>
    <t>Tablet</t>
  </si>
  <si>
    <t>Chennai</t>
  </si>
  <si>
    <t>Headphones</t>
  </si>
  <si>
    <t>Accessories</t>
  </si>
  <si>
    <t>Hyderabad</t>
  </si>
  <si>
    <t>Monitor</t>
  </si>
  <si>
    <t>Keyboard</t>
  </si>
  <si>
    <t>Row Labels</t>
  </si>
  <si>
    <t>Grand Total</t>
  </si>
  <si>
    <t>Sum of Total_Sales</t>
  </si>
  <si>
    <t>Month</t>
  </si>
  <si>
    <t>Retail Sales Performance Dashboard (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</si>
</sst>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2" borderId="0" xfId="0" applyFont="1" applyFill="1"/>
    <xf numFmtId="0" fontId="2" fillId="3" borderId="0" xfId="0" applyFont="1" applyFill="1" applyAlignment="1">
      <alignment horizont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[Retail_Sales_Dashboard.xlsx]sales_cities!PivotTable1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sales_cities!$B$3</c:f>
              <c:strCache>
                <c:ptCount val="1"/>
                <c:pt idx="0">
                  <c:v>Total</c:v>
                </c:pt>
              </c:strCache>
            </c:strRef>
          </c:tx>
          <c:spPr>
            <a:solidFill>
              <a:schemeClr val="accent1"/>
            </a:solidFill>
            <a:ln>
              <a:noFill/>
            </a:ln>
            <a:effectLst/>
          </c:spPr>
          <c:invertIfNegative val="0"/>
          <c:cat>
            <c:strRef>
              <c:f>sales_cities!$A$4:$A$9</c:f>
              <c:strCache>
                <c:ptCount val="5"/>
                <c:pt idx="0">
                  <c:v>Bangalore</c:v>
                </c:pt>
                <c:pt idx="1">
                  <c:v>Chennai</c:v>
                </c:pt>
                <c:pt idx="2">
                  <c:v>Delhi</c:v>
                </c:pt>
                <c:pt idx="3">
                  <c:v>Hyderabad</c:v>
                </c:pt>
                <c:pt idx="4">
                  <c:v>Mumbai</c:v>
                </c:pt>
              </c:strCache>
            </c:strRef>
          </c:cat>
          <c:val>
            <c:numRef>
              <c:f>sales_cities!$B$4:$B$9</c:f>
              <c:numCache>
                <c:formatCode>General</c:formatCode>
                <c:ptCount val="5"/>
                <c:pt idx="0">
                  <c:v>252500</c:v>
                </c:pt>
                <c:pt idx="1">
                  <c:v>328100</c:v>
                </c:pt>
                <c:pt idx="2">
                  <c:v>161400</c:v>
                </c:pt>
                <c:pt idx="3">
                  <c:v>116300</c:v>
                </c:pt>
                <c:pt idx="4">
                  <c:v>228700</c:v>
                </c:pt>
              </c:numCache>
            </c:numRef>
          </c:val>
          <c:extLst>
            <c:ext xmlns:c16="http://schemas.microsoft.com/office/drawing/2014/chart" uri="{C3380CC4-5D6E-409C-BE32-E72D297353CC}">
              <c16:uniqueId val="{00000000-386D-4535-A039-1DAE33C3370D}"/>
            </c:ext>
          </c:extLst>
        </c:ser>
        <c:dLbls>
          <c:showLegendKey val="0"/>
          <c:showVal val="0"/>
          <c:showCatName val="0"/>
          <c:showSerName val="0"/>
          <c:showPercent val="0"/>
          <c:showBubbleSize val="0"/>
        </c:dLbls>
        <c:gapWidth val="219"/>
        <c:overlap val="-27"/>
        <c:axId val="799423071"/>
        <c:axId val="799433151"/>
      </c:barChart>
      <c:catAx>
        <c:axId val="79942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33151"/>
        <c:crosses val="autoZero"/>
        <c:auto val="1"/>
        <c:lblAlgn val="ctr"/>
        <c:lblOffset val="100"/>
        <c:noMultiLvlLbl val="0"/>
      </c:catAx>
      <c:valAx>
        <c:axId val="79943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[Retail_Sales_Dashboard.xlsx]sales_product!PivotTable2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sales_product!$B$3</c:f>
              <c:strCache>
                <c:ptCount val="1"/>
                <c:pt idx="0">
                  <c:v>Total</c:v>
                </c:pt>
              </c:strCache>
            </c:strRef>
          </c:tx>
          <c:spPr>
            <a:solidFill>
              <a:schemeClr val="accent1"/>
            </a:solidFill>
            <a:ln>
              <a:noFill/>
            </a:ln>
            <a:effectLst/>
          </c:spPr>
          <c:invertIfNegative val="0"/>
          <c:cat>
            <c:strRef>
              <c:f>sales_product!$A$4:$A$10</c:f>
              <c:strCache>
                <c:ptCount val="6"/>
                <c:pt idx="0">
                  <c:v>Headphones</c:v>
                </c:pt>
                <c:pt idx="1">
                  <c:v>Keyboard</c:v>
                </c:pt>
                <c:pt idx="2">
                  <c:v>Laptop</c:v>
                </c:pt>
                <c:pt idx="3">
                  <c:v>Monitor</c:v>
                </c:pt>
                <c:pt idx="4">
                  <c:v>Phone</c:v>
                </c:pt>
                <c:pt idx="5">
                  <c:v>Tablet</c:v>
                </c:pt>
              </c:strCache>
            </c:strRef>
          </c:cat>
          <c:val>
            <c:numRef>
              <c:f>sales_product!$B$4:$B$10</c:f>
              <c:numCache>
                <c:formatCode>General</c:formatCode>
                <c:ptCount val="6"/>
                <c:pt idx="0">
                  <c:v>21500</c:v>
                </c:pt>
                <c:pt idx="1">
                  <c:v>18500</c:v>
                </c:pt>
                <c:pt idx="2">
                  <c:v>511000</c:v>
                </c:pt>
                <c:pt idx="3">
                  <c:v>186000</c:v>
                </c:pt>
                <c:pt idx="4">
                  <c:v>141000</c:v>
                </c:pt>
                <c:pt idx="5">
                  <c:v>209000</c:v>
                </c:pt>
              </c:numCache>
            </c:numRef>
          </c:val>
          <c:extLst>
            <c:ext xmlns:c16="http://schemas.microsoft.com/office/drawing/2014/chart" uri="{C3380CC4-5D6E-409C-BE32-E72D297353CC}">
              <c16:uniqueId val="{00000000-98BA-4316-9327-2555392835BA}"/>
            </c:ext>
          </c:extLst>
        </c:ser>
        <c:dLbls>
          <c:showLegendKey val="0"/>
          <c:showVal val="0"/>
          <c:showCatName val="0"/>
          <c:showSerName val="0"/>
          <c:showPercent val="0"/>
          <c:showBubbleSize val="0"/>
        </c:dLbls>
        <c:gapWidth val="219"/>
        <c:overlap val="-27"/>
        <c:axId val="1137022111"/>
        <c:axId val="1137021631"/>
      </c:barChart>
      <c:catAx>
        <c:axId val="113702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21631"/>
        <c:crosses val="autoZero"/>
        <c:auto val="1"/>
        <c:lblAlgn val="ctr"/>
        <c:lblOffset val="100"/>
        <c:noMultiLvlLbl val="0"/>
      </c:catAx>
      <c:valAx>
        <c:axId val="113702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[Retail_Sales_Dashboard.xlsx]sales_customertype!PivotTable3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8384667541557306"/>
          <c:y val="0.26328484981044037"/>
          <c:w val="0.41147353455818025"/>
          <c:h val="0.68578922426363376"/>
        </c:manualLayout>
      </c:layout>
      <c:pieChart>
        <c:varyColors val="1"/>
        <c:ser>
          <c:idx val="0"/>
          <c:order val="0"/>
          <c:tx>
            <c:strRef>
              <c:f>sales_customertype!$B$3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1B-4ECD-B082-F6A3759D6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1B-4ECD-B082-F6A3759D6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1B-4ECD-B082-F6A3759D64E6}"/>
              </c:ext>
            </c:extLst>
          </c:dPt>
          <c:cat>
            <c:strRef>
              <c:f>sales_customertype!$A$4:$A$7</c:f>
              <c:strCache>
                <c:ptCount val="3"/>
                <c:pt idx="0">
                  <c:v>New</c:v>
                </c:pt>
                <c:pt idx="1">
                  <c:v>Returning</c:v>
                </c:pt>
                <c:pt idx="2">
                  <c:v>VIP</c:v>
                </c:pt>
              </c:strCache>
            </c:strRef>
          </c:cat>
          <c:val>
            <c:numRef>
              <c:f>sales_customertype!$B$4:$B$7</c:f>
              <c:numCache>
                <c:formatCode>General</c:formatCode>
                <c:ptCount val="3"/>
                <c:pt idx="0">
                  <c:v>697000</c:v>
                </c:pt>
                <c:pt idx="1">
                  <c:v>162500</c:v>
                </c:pt>
                <c:pt idx="2">
                  <c:v>227500</c:v>
                </c:pt>
              </c:numCache>
            </c:numRef>
          </c:val>
          <c:extLst>
            <c:ext xmlns:c16="http://schemas.microsoft.com/office/drawing/2014/chart" uri="{C3380CC4-5D6E-409C-BE32-E72D297353CC}">
              <c16:uniqueId val="{00000000-85FD-41E9-86D4-0CDA5D95C0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[Retail_Sales_Dashboard.xlsx]daily_salestrend!PivotTable4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daily_salestrend!$B$3</c:f>
              <c:strCache>
                <c:ptCount val="1"/>
                <c:pt idx="0">
                  <c:v>Total</c:v>
                </c:pt>
              </c:strCache>
            </c:strRef>
          </c:tx>
          <c:spPr>
            <a:ln w="28575" cap="rnd">
              <a:solidFill>
                <a:schemeClr val="accent1"/>
              </a:solidFill>
              <a:round/>
            </a:ln>
            <a:effectLst/>
          </c:spPr>
          <c:marker>
            <c:symbol val="none"/>
          </c:marker>
          <c:cat>
            <c:strRef>
              <c:f>daily_salestrend!$A$4:$A$34</c:f>
              <c:strCache>
                <c:ptCount val="3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strCache>
            </c:strRef>
          </c:cat>
          <c:val>
            <c:numRef>
              <c:f>daily_salestrend!$B$4:$B$34</c:f>
              <c:numCache>
                <c:formatCode>General</c:formatCode>
                <c:ptCount val="30"/>
                <c:pt idx="0">
                  <c:v>55000</c:v>
                </c:pt>
                <c:pt idx="1">
                  <c:v>40000</c:v>
                </c:pt>
                <c:pt idx="2">
                  <c:v>25000</c:v>
                </c:pt>
                <c:pt idx="3">
                  <c:v>9000</c:v>
                </c:pt>
                <c:pt idx="4">
                  <c:v>18000</c:v>
                </c:pt>
                <c:pt idx="5">
                  <c:v>5000</c:v>
                </c:pt>
                <c:pt idx="6">
                  <c:v>104000</c:v>
                </c:pt>
                <c:pt idx="7">
                  <c:v>19000</c:v>
                </c:pt>
                <c:pt idx="8">
                  <c:v>69000</c:v>
                </c:pt>
                <c:pt idx="9">
                  <c:v>3200</c:v>
                </c:pt>
                <c:pt idx="10">
                  <c:v>34000</c:v>
                </c:pt>
                <c:pt idx="11">
                  <c:v>2600</c:v>
                </c:pt>
                <c:pt idx="12">
                  <c:v>150000</c:v>
                </c:pt>
                <c:pt idx="13">
                  <c:v>42000</c:v>
                </c:pt>
                <c:pt idx="14">
                  <c:v>24000</c:v>
                </c:pt>
                <c:pt idx="15">
                  <c:v>2900</c:v>
                </c:pt>
                <c:pt idx="16">
                  <c:v>32000</c:v>
                </c:pt>
                <c:pt idx="17">
                  <c:v>2700</c:v>
                </c:pt>
                <c:pt idx="18">
                  <c:v>153000</c:v>
                </c:pt>
                <c:pt idx="19">
                  <c:v>19500</c:v>
                </c:pt>
                <c:pt idx="20">
                  <c:v>44000</c:v>
                </c:pt>
                <c:pt idx="21">
                  <c:v>3100</c:v>
                </c:pt>
                <c:pt idx="22">
                  <c:v>52500</c:v>
                </c:pt>
                <c:pt idx="23">
                  <c:v>5600</c:v>
                </c:pt>
                <c:pt idx="24">
                  <c:v>49000</c:v>
                </c:pt>
                <c:pt idx="25">
                  <c:v>20500</c:v>
                </c:pt>
                <c:pt idx="26">
                  <c:v>47000</c:v>
                </c:pt>
                <c:pt idx="27">
                  <c:v>3300</c:v>
                </c:pt>
                <c:pt idx="28">
                  <c:v>49500</c:v>
                </c:pt>
                <c:pt idx="29">
                  <c:v>2600</c:v>
                </c:pt>
              </c:numCache>
            </c:numRef>
          </c:val>
          <c:smooth val="0"/>
          <c:extLst>
            <c:ext xmlns:c16="http://schemas.microsoft.com/office/drawing/2014/chart" uri="{C3380CC4-5D6E-409C-BE32-E72D297353CC}">
              <c16:uniqueId val="{00000000-B4E5-45BB-8AB2-06278D67260F}"/>
            </c:ext>
          </c:extLst>
        </c:ser>
        <c:dLbls>
          <c:showLegendKey val="0"/>
          <c:showVal val="0"/>
          <c:showCatName val="0"/>
          <c:showSerName val="0"/>
          <c:showPercent val="0"/>
          <c:showBubbleSize val="0"/>
        </c:dLbls>
        <c:smooth val="0"/>
        <c:axId val="193065583"/>
        <c:axId val="193088143"/>
      </c:lineChart>
      <c:catAx>
        <c:axId val="19306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88143"/>
        <c:crosses val="autoZero"/>
        <c:auto val="1"/>
        <c:lblAlgn val="ctr"/>
        <c:lblOffset val="100"/>
        <c:noMultiLvlLbl val="0"/>
      </c:catAx>
      <c:valAx>
        <c:axId val="19308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[Retail_Sales_Dashboard.xlsx]sales_cities!PivotTable1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sales_cities!$B$3</c:f>
              <c:strCache>
                <c:ptCount val="1"/>
                <c:pt idx="0">
                  <c:v>Total</c:v>
                </c:pt>
              </c:strCache>
            </c:strRef>
          </c:tx>
          <c:spPr>
            <a:solidFill>
              <a:schemeClr val="accent1"/>
            </a:solidFill>
            <a:ln>
              <a:noFill/>
            </a:ln>
            <a:effectLst/>
          </c:spPr>
          <c:invertIfNegative val="0"/>
          <c:cat>
            <c:strRef>
              <c:f>sales_cities!$A$4:$A$9</c:f>
              <c:strCache>
                <c:ptCount val="5"/>
                <c:pt idx="0">
                  <c:v>Bangalore</c:v>
                </c:pt>
                <c:pt idx="1">
                  <c:v>Chennai</c:v>
                </c:pt>
                <c:pt idx="2">
                  <c:v>Delhi</c:v>
                </c:pt>
                <c:pt idx="3">
                  <c:v>Hyderabad</c:v>
                </c:pt>
                <c:pt idx="4">
                  <c:v>Mumbai</c:v>
                </c:pt>
              </c:strCache>
            </c:strRef>
          </c:cat>
          <c:val>
            <c:numRef>
              <c:f>sales_cities!$B$4:$B$9</c:f>
              <c:numCache>
                <c:formatCode>General</c:formatCode>
                <c:ptCount val="5"/>
                <c:pt idx="0">
                  <c:v>252500</c:v>
                </c:pt>
                <c:pt idx="1">
                  <c:v>328100</c:v>
                </c:pt>
                <c:pt idx="2">
                  <c:v>161400</c:v>
                </c:pt>
                <c:pt idx="3">
                  <c:v>116300</c:v>
                </c:pt>
                <c:pt idx="4">
                  <c:v>228700</c:v>
                </c:pt>
              </c:numCache>
            </c:numRef>
          </c:val>
          <c:extLst>
            <c:ext xmlns:c16="http://schemas.microsoft.com/office/drawing/2014/chart" uri="{C3380CC4-5D6E-409C-BE32-E72D297353CC}">
              <c16:uniqueId val="{00000000-E11B-4CC2-954D-A0D7686588AD}"/>
            </c:ext>
          </c:extLst>
        </c:ser>
        <c:dLbls>
          <c:showLegendKey val="0"/>
          <c:showVal val="0"/>
          <c:showCatName val="0"/>
          <c:showSerName val="0"/>
          <c:showPercent val="0"/>
          <c:showBubbleSize val="0"/>
        </c:dLbls>
        <c:gapWidth val="219"/>
        <c:overlap val="-27"/>
        <c:axId val="799423071"/>
        <c:axId val="799433151"/>
      </c:barChart>
      <c:catAx>
        <c:axId val="79942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33151"/>
        <c:crosses val="autoZero"/>
        <c:auto val="1"/>
        <c:lblAlgn val="ctr"/>
        <c:lblOffset val="100"/>
        <c:noMultiLvlLbl val="0"/>
      </c:catAx>
      <c:valAx>
        <c:axId val="79943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[Retail_Sales_Dashboard.xlsx]sales_product!PivotTable2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sales_product!$B$3</c:f>
              <c:strCache>
                <c:ptCount val="1"/>
                <c:pt idx="0">
                  <c:v>Total</c:v>
                </c:pt>
              </c:strCache>
            </c:strRef>
          </c:tx>
          <c:spPr>
            <a:solidFill>
              <a:schemeClr val="accent1"/>
            </a:solidFill>
            <a:ln>
              <a:noFill/>
            </a:ln>
            <a:effectLst/>
          </c:spPr>
          <c:invertIfNegative val="0"/>
          <c:cat>
            <c:strRef>
              <c:f>sales_product!$A$4:$A$10</c:f>
              <c:strCache>
                <c:ptCount val="6"/>
                <c:pt idx="0">
                  <c:v>Headphones</c:v>
                </c:pt>
                <c:pt idx="1">
                  <c:v>Keyboard</c:v>
                </c:pt>
                <c:pt idx="2">
                  <c:v>Laptop</c:v>
                </c:pt>
                <c:pt idx="3">
                  <c:v>Monitor</c:v>
                </c:pt>
                <c:pt idx="4">
                  <c:v>Phone</c:v>
                </c:pt>
                <c:pt idx="5">
                  <c:v>Tablet</c:v>
                </c:pt>
              </c:strCache>
            </c:strRef>
          </c:cat>
          <c:val>
            <c:numRef>
              <c:f>sales_product!$B$4:$B$10</c:f>
              <c:numCache>
                <c:formatCode>General</c:formatCode>
                <c:ptCount val="6"/>
                <c:pt idx="0">
                  <c:v>21500</c:v>
                </c:pt>
                <c:pt idx="1">
                  <c:v>18500</c:v>
                </c:pt>
                <c:pt idx="2">
                  <c:v>511000</c:v>
                </c:pt>
                <c:pt idx="3">
                  <c:v>186000</c:v>
                </c:pt>
                <c:pt idx="4">
                  <c:v>141000</c:v>
                </c:pt>
                <c:pt idx="5">
                  <c:v>209000</c:v>
                </c:pt>
              </c:numCache>
            </c:numRef>
          </c:val>
          <c:extLst>
            <c:ext xmlns:c16="http://schemas.microsoft.com/office/drawing/2014/chart" uri="{C3380CC4-5D6E-409C-BE32-E72D297353CC}">
              <c16:uniqueId val="{00000000-8409-4780-B83F-9DB1B4CA3E87}"/>
            </c:ext>
          </c:extLst>
        </c:ser>
        <c:dLbls>
          <c:showLegendKey val="0"/>
          <c:showVal val="0"/>
          <c:showCatName val="0"/>
          <c:showSerName val="0"/>
          <c:showPercent val="0"/>
          <c:showBubbleSize val="0"/>
        </c:dLbls>
        <c:gapWidth val="219"/>
        <c:overlap val="-27"/>
        <c:axId val="1137022111"/>
        <c:axId val="1137021631"/>
      </c:barChart>
      <c:catAx>
        <c:axId val="113702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21631"/>
        <c:crosses val="autoZero"/>
        <c:auto val="1"/>
        <c:lblAlgn val="ctr"/>
        <c:lblOffset val="100"/>
        <c:noMultiLvlLbl val="0"/>
      </c:catAx>
      <c:valAx>
        <c:axId val="113702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[Retail_Sales_Dashboard.xlsx]sales_customertype!PivotTable3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8384667541557306"/>
          <c:y val="0.26328484981044037"/>
          <c:w val="0.41147353455818025"/>
          <c:h val="0.68578922426363376"/>
        </c:manualLayout>
      </c:layout>
      <c:pieChart>
        <c:varyColors val="1"/>
        <c:ser>
          <c:idx val="0"/>
          <c:order val="0"/>
          <c:tx>
            <c:strRef>
              <c:f>sales_customertype!$B$3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3-41D2-859C-C00C7EDC6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3-41D2-859C-C00C7EDC6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53-41D2-859C-C00C7EDC6CEA}"/>
              </c:ext>
            </c:extLst>
          </c:dPt>
          <c:cat>
            <c:strRef>
              <c:f>sales_customertype!$A$4:$A$7</c:f>
              <c:strCache>
                <c:ptCount val="3"/>
                <c:pt idx="0">
                  <c:v>New</c:v>
                </c:pt>
                <c:pt idx="1">
                  <c:v>Returning</c:v>
                </c:pt>
                <c:pt idx="2">
                  <c:v>VIP</c:v>
                </c:pt>
              </c:strCache>
            </c:strRef>
          </c:cat>
          <c:val>
            <c:numRef>
              <c:f>sales_customertype!$B$4:$B$7</c:f>
              <c:numCache>
                <c:formatCode>General</c:formatCode>
                <c:ptCount val="3"/>
                <c:pt idx="0">
                  <c:v>697000</c:v>
                </c:pt>
                <c:pt idx="1">
                  <c:v>162500</c:v>
                </c:pt>
                <c:pt idx="2">
                  <c:v>227500</c:v>
                </c:pt>
              </c:numCache>
            </c:numRef>
          </c:val>
          <c:extLst>
            <c:ext xmlns:c16="http://schemas.microsoft.com/office/drawing/2014/chart" uri="{C3380CC4-5D6E-409C-BE32-E72D297353CC}">
              <c16:uniqueId val="{00000006-4353-41D2-859C-C00C7EDC6C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[Retail_Sales_Dashboard.xlsx]daily_salestrend!PivotTable4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daily_salestrend!$B$3</c:f>
              <c:strCache>
                <c:ptCount val="1"/>
                <c:pt idx="0">
                  <c:v>Total</c:v>
                </c:pt>
              </c:strCache>
            </c:strRef>
          </c:tx>
          <c:spPr>
            <a:ln w="28575" cap="rnd">
              <a:solidFill>
                <a:schemeClr val="accent1"/>
              </a:solidFill>
              <a:round/>
            </a:ln>
            <a:effectLst/>
          </c:spPr>
          <c:marker>
            <c:symbol val="none"/>
          </c:marker>
          <c:cat>
            <c:strRef>
              <c:f>daily_salestrend!$A$4:$A$34</c:f>
              <c:strCache>
                <c:ptCount val="3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strCache>
            </c:strRef>
          </c:cat>
          <c:val>
            <c:numRef>
              <c:f>daily_salestrend!$B$4:$B$34</c:f>
              <c:numCache>
                <c:formatCode>General</c:formatCode>
                <c:ptCount val="30"/>
                <c:pt idx="0">
                  <c:v>55000</c:v>
                </c:pt>
                <c:pt idx="1">
                  <c:v>40000</c:v>
                </c:pt>
                <c:pt idx="2">
                  <c:v>25000</c:v>
                </c:pt>
                <c:pt idx="3">
                  <c:v>9000</c:v>
                </c:pt>
                <c:pt idx="4">
                  <c:v>18000</c:v>
                </c:pt>
                <c:pt idx="5">
                  <c:v>5000</c:v>
                </c:pt>
                <c:pt idx="6">
                  <c:v>104000</c:v>
                </c:pt>
                <c:pt idx="7">
                  <c:v>19000</c:v>
                </c:pt>
                <c:pt idx="8">
                  <c:v>69000</c:v>
                </c:pt>
                <c:pt idx="9">
                  <c:v>3200</c:v>
                </c:pt>
                <c:pt idx="10">
                  <c:v>34000</c:v>
                </c:pt>
                <c:pt idx="11">
                  <c:v>2600</c:v>
                </c:pt>
                <c:pt idx="12">
                  <c:v>150000</c:v>
                </c:pt>
                <c:pt idx="13">
                  <c:v>42000</c:v>
                </c:pt>
                <c:pt idx="14">
                  <c:v>24000</c:v>
                </c:pt>
                <c:pt idx="15">
                  <c:v>2900</c:v>
                </c:pt>
                <c:pt idx="16">
                  <c:v>32000</c:v>
                </c:pt>
                <c:pt idx="17">
                  <c:v>2700</c:v>
                </c:pt>
                <c:pt idx="18">
                  <c:v>153000</c:v>
                </c:pt>
                <c:pt idx="19">
                  <c:v>19500</c:v>
                </c:pt>
                <c:pt idx="20">
                  <c:v>44000</c:v>
                </c:pt>
                <c:pt idx="21">
                  <c:v>3100</c:v>
                </c:pt>
                <c:pt idx="22">
                  <c:v>52500</c:v>
                </c:pt>
                <c:pt idx="23">
                  <c:v>5600</c:v>
                </c:pt>
                <c:pt idx="24">
                  <c:v>49000</c:v>
                </c:pt>
                <c:pt idx="25">
                  <c:v>20500</c:v>
                </c:pt>
                <c:pt idx="26">
                  <c:v>47000</c:v>
                </c:pt>
                <c:pt idx="27">
                  <c:v>3300</c:v>
                </c:pt>
                <c:pt idx="28">
                  <c:v>49500</c:v>
                </c:pt>
                <c:pt idx="29">
                  <c:v>2600</c:v>
                </c:pt>
              </c:numCache>
            </c:numRef>
          </c:val>
          <c:smooth val="0"/>
          <c:extLst>
            <c:ext xmlns:c16="http://schemas.microsoft.com/office/drawing/2014/chart" uri="{C3380CC4-5D6E-409C-BE32-E72D297353CC}">
              <c16:uniqueId val="{00000000-D35C-4265-8084-5B4A397CD4A2}"/>
            </c:ext>
          </c:extLst>
        </c:ser>
        <c:dLbls>
          <c:showLegendKey val="0"/>
          <c:showVal val="0"/>
          <c:showCatName val="0"/>
          <c:showSerName val="0"/>
          <c:showPercent val="0"/>
          <c:showBubbleSize val="0"/>
        </c:dLbls>
        <c:smooth val="0"/>
        <c:axId val="193065583"/>
        <c:axId val="193088143"/>
      </c:lineChart>
      <c:catAx>
        <c:axId val="19306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88143"/>
        <c:crosses val="autoZero"/>
        <c:auto val="1"/>
        <c:lblAlgn val="ctr"/>
        <c:lblOffset val="100"/>
        <c:noMultiLvlLbl val="0"/>
      </c:catAx>
      <c:valAx>
        <c:axId val="19308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10026</xdr:colOff>
      <xdr:row>2</xdr:row>
      <xdr:rowOff>12033</xdr:rowOff>
    </xdr:from>
    <xdr:to>
      <xdr:col>10</xdr:col>
      <xdr:colOff>300790</xdr:colOff>
      <xdr:row>17</xdr:row>
      <xdr:rowOff>48127</xdr:rowOff>
    </xdr:to>
    <xdr:graphicFrame macro="">
      <xdr:nvGraphicFramePr>
        <xdr:cNvPr id="2" name="Chart 1">
          <a:extLst>
            <a:ext uri="{FF2B5EF4-FFF2-40B4-BE49-F238E27FC236}">
              <a16:creationId xmlns:a16="http://schemas.microsoft.com/office/drawing/2014/main" id="{001EA33F-DA8E-976E-2D1A-A7C24BDCA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204136</xdr:colOff>
      <xdr:row>17</xdr:row>
      <xdr:rowOff>73392</xdr:rowOff>
    </xdr:from>
    <xdr:to>
      <xdr:col>8</xdr:col>
      <xdr:colOff>198120</xdr:colOff>
      <xdr:row>31</xdr:row>
      <xdr:rowOff>128036</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6F23D94-49A7-22A9-356B-0C859E4F47F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14399" y="314144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383407</xdr:colOff>
      <xdr:row>15</xdr:row>
      <xdr:rowOff>52137</xdr:rowOff>
    </xdr:from>
    <xdr:to>
      <xdr:col>11</xdr:col>
      <xdr:colOff>377391</xdr:colOff>
      <xdr:row>29</xdr:row>
      <xdr:rowOff>106780</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F9DA1C8A-0CBB-5A12-32AE-53BD18F4500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128486" y="275924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11</xdr:row>
      <xdr:rowOff>171450</xdr:rowOff>
    </xdr:from>
    <xdr:to>
      <xdr:col>7</xdr:col>
      <xdr:colOff>403860</xdr:colOff>
      <xdr:row>26</xdr:row>
      <xdr:rowOff>171450</xdr:rowOff>
    </xdr:to>
    <xdr:graphicFrame macro="">
      <xdr:nvGraphicFramePr>
        <xdr:cNvPr id="2" name="Chart 1">
          <a:extLst>
            <a:ext uri="{FF2B5EF4-FFF2-40B4-BE49-F238E27FC236}">
              <a16:creationId xmlns:a16="http://schemas.microsoft.com/office/drawing/2014/main" id="{D385BD8E-A52B-908A-DB88-47D3F6118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845820</xdr:colOff>
      <xdr:row>8</xdr:row>
      <xdr:rowOff>11430</xdr:rowOff>
    </xdr:from>
    <xdr:to>
      <xdr:col>7</xdr:col>
      <xdr:colOff>381000</xdr:colOff>
      <xdr:row>23</xdr:row>
      <xdr:rowOff>11430</xdr:rowOff>
    </xdr:to>
    <xdr:graphicFrame macro="">
      <xdr:nvGraphicFramePr>
        <xdr:cNvPr id="2" name="Chart 1">
          <a:extLst>
            <a:ext uri="{FF2B5EF4-FFF2-40B4-BE49-F238E27FC236}">
              <a16:creationId xmlns:a16="http://schemas.microsoft.com/office/drawing/2014/main" id="{C5B739DF-2925-4584-C2C2-35315E735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22866</xdr:colOff>
      <xdr:row>3</xdr:row>
      <xdr:rowOff>179070</xdr:rowOff>
    </xdr:from>
    <xdr:to>
      <xdr:col>11</xdr:col>
      <xdr:colOff>327666</xdr:colOff>
      <xdr:row>18</xdr:row>
      <xdr:rowOff>179070</xdr:rowOff>
    </xdr:to>
    <xdr:graphicFrame macro="">
      <xdr:nvGraphicFramePr>
        <xdr:cNvPr id="2" name="Chart 1">
          <a:extLst>
            <a:ext uri="{FF2B5EF4-FFF2-40B4-BE49-F238E27FC236}">
              <a16:creationId xmlns:a16="http://schemas.microsoft.com/office/drawing/2014/main" id="{5116E135-7D64-38FE-9148-3D468207E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198066</xdr:colOff>
      <xdr:row>4</xdr:row>
      <xdr:rowOff>35560</xdr:rowOff>
    </xdr:from>
    <xdr:to>
      <xdr:col>9</xdr:col>
      <xdr:colOff>1266</xdr:colOff>
      <xdr:row>18</xdr:row>
      <xdr:rowOff>66360</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A2241495-C6B0-4EF6-86A9-47058D37DDD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07666" y="746760"/>
              <a:ext cx="468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4</xdr:row>
      <xdr:rowOff>15239</xdr:rowOff>
    </xdr:from>
    <xdr:to>
      <xdr:col>17</xdr:col>
      <xdr:colOff>428040</xdr:colOff>
      <xdr:row>18</xdr:row>
      <xdr:rowOff>46039</xdr:rowOff>
    </xdr:to>
    <mc:AlternateContent xmlns:mc="http://schemas.openxmlformats.org/markup-compatibility/2006" xmlns:a14="http://schemas.microsoft.com/office/drawing/2010/main">
      <mc:Choice Requires="a14">
        <xdr:graphicFrame macro="">
          <xdr:nvGraphicFramePr>
            <xdr:cNvPr id="3" name="Customer_Type 1">
              <a:extLst>
                <a:ext uri="{FF2B5EF4-FFF2-40B4-BE49-F238E27FC236}">
                  <a16:creationId xmlns:a16="http://schemas.microsoft.com/office/drawing/2014/main" id="{43C71670-7B19-4481-BAE3-20DF2BB246FF}"/>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6111240" y="726439"/>
              <a:ext cx="468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157048</xdr:colOff>
      <xdr:row>20</xdr:row>
      <xdr:rowOff>15240</xdr:rowOff>
    </xdr:from>
    <xdr:to>
      <xdr:col>8</xdr:col>
      <xdr:colOff>581197</xdr:colOff>
      <xdr:row>33</xdr:row>
      <xdr:rowOff>111431</xdr:rowOff>
    </xdr:to>
    <xdr:graphicFrame macro="">
      <xdr:nvGraphicFramePr>
        <xdr:cNvPr id="4" name="Chart 3">
          <a:extLst>
            <a:ext uri="{FF2B5EF4-FFF2-40B4-BE49-F238E27FC236}">
              <a16:creationId xmlns:a16="http://schemas.microsoft.com/office/drawing/2014/main" id="{BE416ED3-5C3E-4868-AFEC-4752ED579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7079</xdr:colOff>
      <xdr:row>20</xdr:row>
      <xdr:rowOff>15727</xdr:rowOff>
    </xdr:from>
    <xdr:to>
      <xdr:col>17</xdr:col>
      <xdr:colOff>432850</xdr:colOff>
      <xdr:row>33</xdr:row>
      <xdr:rowOff>111918</xdr:rowOff>
    </xdr:to>
    <xdr:graphicFrame macro="">
      <xdr:nvGraphicFramePr>
        <xdr:cNvPr id="5" name="Chart 4">
          <a:extLst>
            <a:ext uri="{FF2B5EF4-FFF2-40B4-BE49-F238E27FC236}">
              <a16:creationId xmlns:a16="http://schemas.microsoft.com/office/drawing/2014/main" id="{7C886E20-333A-49CA-BDB7-3D2D2BA0B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172774</xdr:colOff>
      <xdr:row>36</xdr:row>
      <xdr:rowOff>7134</xdr:rowOff>
    </xdr:from>
    <xdr:to>
      <xdr:col>8</xdr:col>
      <xdr:colOff>598544</xdr:colOff>
      <xdr:row>49</xdr:row>
      <xdr:rowOff>103325</xdr:rowOff>
    </xdr:to>
    <xdr:graphicFrame macro="">
      <xdr:nvGraphicFramePr>
        <xdr:cNvPr id="6" name="Chart 5">
          <a:extLst>
            <a:ext uri="{FF2B5EF4-FFF2-40B4-BE49-F238E27FC236}">
              <a16:creationId xmlns:a16="http://schemas.microsoft.com/office/drawing/2014/main" id="{E91BD044-AAA6-41E3-980F-FC2AB57B9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2485</xdr:colOff>
      <xdr:row>36</xdr:row>
      <xdr:rowOff>10647</xdr:rowOff>
    </xdr:from>
    <xdr:to>
      <xdr:col>17</xdr:col>
      <xdr:colOff>428256</xdr:colOff>
      <xdr:row>49</xdr:row>
      <xdr:rowOff>106838</xdr:rowOff>
    </xdr:to>
    <xdr:graphicFrame macro="">
      <xdr:nvGraphicFramePr>
        <xdr:cNvPr id="7" name="Chart 6">
          <a:extLst>
            <a:ext uri="{FF2B5EF4-FFF2-40B4-BE49-F238E27FC236}">
              <a16:creationId xmlns:a16="http://schemas.microsoft.com/office/drawing/2014/main" id="{FE0A977C-B5F1-4439-9F62-391A3E27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dh" refreshedDate="46062.571871527776" createdVersion="8" refreshedVersion="8" minRefreshableVersion="3" recordCount="30" xr:uid="{DF0777CB-7915-4223-B93C-C0F7DD89233E}">
  <cacheSource type="worksheet">
    <worksheetSource name="Raw_Data"/>
  </cacheSource>
  <cacheFields count="9">
    <cacheField name="Order_ID" numFmtId="0">
      <sharedItems containsSemiMixedTypes="0" containsString="0" containsNumber="1" containsInteger="1" minValue="1001" maxValue="1030"/>
    </cacheField>
    <cacheField name="Date" numFmtId="14">
      <sharedItems containsSemiMixedTypes="0" containsNonDate="0" containsDate="1" containsString="0" minDate="2024-01-01T00:00:00" maxDate="2024-01-31T00:00:00" count="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sharedItems>
    </cacheField>
    <cacheField name="City" numFmtId="0">
      <sharedItems count="5">
        <s v="Delhi"/>
        <s v="Mumbai"/>
        <s v="Bangalore"/>
        <s v="Chennai"/>
        <s v="Hyderabad"/>
      </sharedItems>
    </cacheField>
    <cacheField name="Customer_Type" numFmtId="0">
      <sharedItems count="3">
        <s v="New"/>
        <s v="Returning"/>
        <s v="VIP"/>
      </sharedItems>
    </cacheField>
    <cacheField name="Product" numFmtId="0">
      <sharedItems count="6">
        <s v="Laptop"/>
        <s v="Phone"/>
        <s v="Tablet"/>
        <s v="Headphones"/>
        <s v="Monitor"/>
        <s v="Keyboard"/>
      </sharedItems>
    </cacheField>
    <cacheField name="Category" numFmtId="0">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2500" maxValue="55000"/>
    </cacheField>
    <cacheField name="Total_Sales" numFmtId="0">
      <sharedItems containsSemiMixedTypes="0" containsString="0" containsNumber="1" containsInteger="1" minValue="2600" maxValue="153000"/>
    </cacheField>
  </cacheFields>
  <extLst>
    <ext xmlns:x14="http://schemas.microsoft.com/office/spreadsheetml/2009/9/main" uri="{725AE2AE-9491-48be-B2B4-4EB974FC3084}">
      <x14:pivotCacheDefinition pivotCacheId="228300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s v="Electronics"/>
    <n v="1"/>
    <n v="55000"/>
    <n v="55000"/>
  </r>
  <r>
    <n v="1002"/>
    <x v="1"/>
    <x v="1"/>
    <x v="1"/>
    <x v="1"/>
    <s v="Electronics"/>
    <n v="2"/>
    <n v="20000"/>
    <n v="40000"/>
  </r>
  <r>
    <n v="1003"/>
    <x v="2"/>
    <x v="2"/>
    <x v="2"/>
    <x v="2"/>
    <s v="Electronics"/>
    <n v="1"/>
    <n v="25000"/>
    <n v="25000"/>
  </r>
  <r>
    <n v="1004"/>
    <x v="3"/>
    <x v="3"/>
    <x v="1"/>
    <x v="3"/>
    <s v="Accessories"/>
    <n v="3"/>
    <n v="3000"/>
    <n v="9000"/>
  </r>
  <r>
    <n v="1005"/>
    <x v="4"/>
    <x v="4"/>
    <x v="0"/>
    <x v="4"/>
    <s v="Electronics"/>
    <n v="1"/>
    <n v="18000"/>
    <n v="18000"/>
  </r>
  <r>
    <n v="1006"/>
    <x v="5"/>
    <x v="0"/>
    <x v="2"/>
    <x v="5"/>
    <s v="Accessories"/>
    <n v="2"/>
    <n v="2500"/>
    <n v="5000"/>
  </r>
  <r>
    <n v="1007"/>
    <x v="6"/>
    <x v="1"/>
    <x v="0"/>
    <x v="0"/>
    <s v="Electronics"/>
    <n v="2"/>
    <n v="52000"/>
    <n v="104000"/>
  </r>
  <r>
    <n v="1008"/>
    <x v="7"/>
    <x v="2"/>
    <x v="1"/>
    <x v="1"/>
    <s v="Electronics"/>
    <n v="1"/>
    <n v="19000"/>
    <n v="19000"/>
  </r>
  <r>
    <n v="1009"/>
    <x v="8"/>
    <x v="3"/>
    <x v="2"/>
    <x v="2"/>
    <s v="Electronics"/>
    <n v="3"/>
    <n v="23000"/>
    <n v="69000"/>
  </r>
  <r>
    <n v="1010"/>
    <x v="9"/>
    <x v="4"/>
    <x v="1"/>
    <x v="3"/>
    <s v="Accessories"/>
    <n v="1"/>
    <n v="3200"/>
    <n v="3200"/>
  </r>
  <r>
    <n v="1011"/>
    <x v="10"/>
    <x v="0"/>
    <x v="0"/>
    <x v="4"/>
    <s v="Electronics"/>
    <n v="2"/>
    <n v="17000"/>
    <n v="34000"/>
  </r>
  <r>
    <n v="1012"/>
    <x v="11"/>
    <x v="1"/>
    <x v="2"/>
    <x v="5"/>
    <s v="Accessories"/>
    <n v="1"/>
    <n v="2600"/>
    <n v="2600"/>
  </r>
  <r>
    <n v="1013"/>
    <x v="12"/>
    <x v="2"/>
    <x v="0"/>
    <x v="0"/>
    <s v="Electronics"/>
    <n v="3"/>
    <n v="50000"/>
    <n v="150000"/>
  </r>
  <r>
    <n v="1014"/>
    <x v="13"/>
    <x v="3"/>
    <x v="1"/>
    <x v="1"/>
    <s v="Electronics"/>
    <n v="2"/>
    <n v="21000"/>
    <n v="42000"/>
  </r>
  <r>
    <n v="1015"/>
    <x v="14"/>
    <x v="4"/>
    <x v="2"/>
    <x v="2"/>
    <s v="Electronics"/>
    <n v="1"/>
    <n v="24000"/>
    <n v="24000"/>
  </r>
  <r>
    <n v="1016"/>
    <x v="15"/>
    <x v="0"/>
    <x v="1"/>
    <x v="3"/>
    <s v="Accessories"/>
    <n v="1"/>
    <n v="2900"/>
    <n v="2900"/>
  </r>
  <r>
    <n v="1017"/>
    <x v="16"/>
    <x v="1"/>
    <x v="0"/>
    <x v="4"/>
    <s v="Electronics"/>
    <n v="2"/>
    <n v="16000"/>
    <n v="32000"/>
  </r>
  <r>
    <n v="1018"/>
    <x v="17"/>
    <x v="2"/>
    <x v="2"/>
    <x v="5"/>
    <s v="Accessories"/>
    <n v="1"/>
    <n v="2700"/>
    <n v="2700"/>
  </r>
  <r>
    <n v="1019"/>
    <x v="18"/>
    <x v="3"/>
    <x v="0"/>
    <x v="0"/>
    <s v="Electronics"/>
    <n v="3"/>
    <n v="51000"/>
    <n v="153000"/>
  </r>
  <r>
    <n v="1020"/>
    <x v="19"/>
    <x v="4"/>
    <x v="1"/>
    <x v="1"/>
    <s v="Electronics"/>
    <n v="1"/>
    <n v="19500"/>
    <n v="19500"/>
  </r>
  <r>
    <n v="1021"/>
    <x v="20"/>
    <x v="0"/>
    <x v="2"/>
    <x v="2"/>
    <s v="Electronics"/>
    <n v="2"/>
    <n v="22000"/>
    <n v="44000"/>
  </r>
  <r>
    <n v="1022"/>
    <x v="21"/>
    <x v="1"/>
    <x v="1"/>
    <x v="3"/>
    <s v="Accessories"/>
    <n v="1"/>
    <n v="3100"/>
    <n v="3100"/>
  </r>
  <r>
    <n v="1023"/>
    <x v="22"/>
    <x v="2"/>
    <x v="0"/>
    <x v="4"/>
    <s v="Electronics"/>
    <n v="3"/>
    <n v="17500"/>
    <n v="52500"/>
  </r>
  <r>
    <n v="1024"/>
    <x v="23"/>
    <x v="3"/>
    <x v="2"/>
    <x v="5"/>
    <s v="Accessories"/>
    <n v="2"/>
    <n v="2800"/>
    <n v="5600"/>
  </r>
  <r>
    <n v="1025"/>
    <x v="24"/>
    <x v="4"/>
    <x v="0"/>
    <x v="0"/>
    <s v="Electronics"/>
    <n v="1"/>
    <n v="49000"/>
    <n v="49000"/>
  </r>
  <r>
    <n v="1026"/>
    <x v="25"/>
    <x v="0"/>
    <x v="1"/>
    <x v="1"/>
    <s v="Electronics"/>
    <n v="1"/>
    <n v="20500"/>
    <n v="20500"/>
  </r>
  <r>
    <n v="1027"/>
    <x v="26"/>
    <x v="1"/>
    <x v="2"/>
    <x v="2"/>
    <s v="Electronics"/>
    <n v="2"/>
    <n v="23500"/>
    <n v="47000"/>
  </r>
  <r>
    <n v="1028"/>
    <x v="27"/>
    <x v="2"/>
    <x v="1"/>
    <x v="3"/>
    <s v="Accessories"/>
    <n v="1"/>
    <n v="3300"/>
    <n v="3300"/>
  </r>
  <r>
    <n v="1029"/>
    <x v="28"/>
    <x v="3"/>
    <x v="0"/>
    <x v="4"/>
    <s v="Electronics"/>
    <n v="3"/>
    <n v="16500"/>
    <n v="49500"/>
  </r>
  <r>
    <n v="1030"/>
    <x v="29"/>
    <x v="4"/>
    <x v="2"/>
    <x v="5"/>
    <s v="Accessories"/>
    <n v="1"/>
    <n v="2600"/>
    <n v="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7E098-402D-49EE-8D56-2936CBC8FC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9">
    <pivotField showAll="0"/>
    <pivotField numFmtId="14" showAll="0"/>
    <pivotField axis="axisRow" showAll="0">
      <items count="6">
        <item x="2"/>
        <item x="3"/>
        <item x="0"/>
        <item x="4"/>
        <item x="1"/>
        <item t="default"/>
      </items>
    </pivotField>
    <pivotField showAll="0">
      <items count="4">
        <item x="0"/>
        <item x="1"/>
        <item x="2"/>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Total_Sales" fld="8" baseField="0" baseItem="0"/>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77612-1BF6-4F37-A2D9-845261BE38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9">
    <pivotField showAll="0"/>
    <pivotField numFmtId="14" showAll="0"/>
    <pivotField showAll="0">
      <items count="6">
        <item x="2"/>
        <item x="3"/>
        <item x="0"/>
        <item x="4"/>
        <item x="1"/>
        <item t="default"/>
      </items>
    </pivotField>
    <pivotField showAll="0">
      <items count="4">
        <item x="0"/>
        <item x="1"/>
        <item x="2"/>
        <item t="default"/>
      </items>
    </pivotField>
    <pivotField axis="axisRow" showAll="0">
      <items count="7">
        <item x="3"/>
        <item x="5"/>
        <item x="0"/>
        <item x="4"/>
        <item x="1"/>
        <item x="2"/>
        <item t="default"/>
      </items>
    </pivotField>
    <pivotField showAll="0"/>
    <pivotField showAll="0"/>
    <pivotField showAll="0"/>
    <pivotField dataField="1" showAll="0"/>
  </pivotFields>
  <rowFields count="1">
    <field x="4"/>
  </rowFields>
  <rowItems count="7">
    <i>
      <x/>
    </i>
    <i>
      <x v="1"/>
    </i>
    <i>
      <x v="2"/>
    </i>
    <i>
      <x v="3"/>
    </i>
    <i>
      <x v="4"/>
    </i>
    <i>
      <x v="5"/>
    </i>
    <i t="grand">
      <x/>
    </i>
  </rowItems>
  <colItems count="1">
    <i/>
  </colItems>
  <dataFields count="1">
    <dataField name="Sum of Total_Sales" fld="8" baseField="0" baseItem="0"/>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59DE51-53E3-4648-B9AF-C99F40DC95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9">
    <pivotField showAll="0"/>
    <pivotField numFmtId="14" showAll="0"/>
    <pivotField showAll="0">
      <items count="6">
        <item x="2"/>
        <item x="3"/>
        <item x="0"/>
        <item x="4"/>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Total_Sales" fld="8" baseField="0" baseItem="0"/>
  </dataFields>
  <chartFormats count="5">
    <chartFormat chart="1"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3" count="1" selected="0">
            <x v="0"/>
          </reference>
        </references>
      </pivotArea>
    </chartFormat>
    <chartFormat chart="7" format="15">
      <pivotArea type="data" outline="0" fieldPosition="0">
        <references count="2">
          <reference field="4294967294" count="1" selected="0">
            <x v="0"/>
          </reference>
          <reference field="3" count="1" selected="0">
            <x v="1"/>
          </reference>
        </references>
      </pivotArea>
    </chartFormat>
    <chartFormat chart="7"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E6E53-1C1B-46C6-A83A-86A9156502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34" firstHeaderRow="1" firstDataRow="1" firstDataCol="1"/>
  <pivotFields count="9">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x="3"/>
        <item x="0"/>
        <item x="4"/>
        <item x="1"/>
        <item t="default"/>
      </items>
    </pivotField>
    <pivotField showAll="0">
      <items count="4">
        <item x="0"/>
        <item x="1"/>
        <item x="2"/>
        <item t="default"/>
      </items>
    </pivotField>
    <pivotField showAll="0"/>
    <pivotField showAll="0"/>
    <pivotField showAll="0"/>
    <pivotField showAll="0"/>
    <pivotField dataField="1"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_Sales" fld="8" baseField="0" baseItem="0"/>
  </dataFields>
  <chartFormats count="2">
    <chartFormat chart="8"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6C191A-4A03-4163-96AB-A906FD165D0A}" autoFormatId="16" applyNumberFormats="0" applyBorderFormats="0" applyFontFormats="0" applyPatternFormats="0" applyAlignmentFormats="0" applyWidthHeightFormats="0">
  <queryTableRefresh nextId="11" unboundColumnsRight="1">
    <queryTableFields count="10">
      <queryTableField id="1" name="Order_ID" tableColumnId="1"/>
      <queryTableField id="2" name="Date" tableColumnId="2"/>
      <queryTableField id="3" name="City" tableColumnId="3"/>
      <queryTableField id="4" name="Customer_Type" tableColumnId="4"/>
      <queryTableField id="5" name="Product" tableColumnId="5"/>
      <queryTableField id="6" name="Category" tableColumnId="6"/>
      <queryTableField id="7" name="Quantity" tableColumnId="7"/>
      <queryTableField id="8" name="Unit_Price" tableColumnId="8"/>
      <queryTableField id="9" name="Total_Sales"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765021-53F0-4316-A607-303FE41885C8}" sourceName="City">
  <pivotTables>
    <pivotTable tabId="3" name="PivotTable1"/>
    <pivotTable tabId="6" name="PivotTable4"/>
    <pivotTable tabId="5" name="PivotTable3"/>
    <pivotTable tabId="4" name="PivotTable2"/>
  </pivotTables>
  <data>
    <tabular pivotCacheId="228300790">
      <items count="5">
        <i x="2" s="1"/>
        <i x="3"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7C4B522-B1EF-49A5-85DE-64253266AD0A}" sourceName="Customer_Type">
  <pivotTables>
    <pivotTable tabId="3" name="PivotTable1"/>
    <pivotTable tabId="6" name="PivotTable4"/>
    <pivotTable tabId="5" name="PivotTable3"/>
    <pivotTable tabId="4" name="PivotTable2"/>
  </pivotTables>
  <data>
    <tabular pivotCacheId="22830079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242233-0553-4FEA-8215-E4C9AEFBDE3D}" cache="Slicer_City" caption="City" rowHeight="247650"/>
  <slicer name="Customer_Type" xr10:uid="{66E36DF8-987C-4300-9F5A-856DC8A5D3CF}" cache="Slicer_Customer_Type" caption="Customer_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8805FAC-0D8F-4642-BFF6-E0B5CC2A8C6B}" cache="Slicer_City" caption="City" rowHeight="247650"/>
  <slicer name="Customer_Type 1" xr10:uid="{89E63D54-0340-4978-9D86-A277E13AE94F}" cache="Slicer_Customer_Type" caption="Customer_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356727-084F-437F-8C14-0C8D0A2731E8}" name="Raw_Data" displayName="Raw_Data" ref="A1:J31" tableType="queryTable" totalsRowShown="0">
  <autoFilter ref="A1:J31" xr:uid="{50356727-084F-437F-8C14-0C8D0A2731E8}"/>
  <tableColumns count="10">
    <tableColumn id="1" xr3:uid="{CF65A01F-814E-47B1-BA49-617930EACACE}" uniqueName="1" name="Order_ID" queryTableFieldId="1"/>
    <tableColumn id="2" xr3:uid="{A4DB666E-758B-4980-A796-9CAA2D5F0655}" uniqueName="2" name="Date" queryTableFieldId="2" dataDxfId="5"/>
    <tableColumn id="3" xr3:uid="{F24305C2-7E2C-464F-9EAC-A68D0084AE70}" uniqueName="3" name="City" queryTableFieldId="3" dataDxfId="4"/>
    <tableColumn id="4" xr3:uid="{0D842089-F286-4757-8B67-E3F6AAD5EE75}" uniqueName="4" name="Customer_Type" queryTableFieldId="4" dataDxfId="3"/>
    <tableColumn id="5" xr3:uid="{1F50DD4F-CF77-4849-991C-61C2621B9E85}" uniqueName="5" name="Product" queryTableFieldId="5" dataDxfId="2"/>
    <tableColumn id="6" xr3:uid="{035E8F0A-EE93-472B-BABF-472FF22567C1}" uniqueName="6" name="Category" queryTableFieldId="6" dataDxfId="1"/>
    <tableColumn id="7" xr3:uid="{0B8A1B25-644A-4703-B971-00F056190688}" uniqueName="7" name="Quantity" queryTableFieldId="7"/>
    <tableColumn id="8" xr3:uid="{B3A205CE-0B41-4586-8F73-F246A75A6F4F}" uniqueName="8" name="Unit_Price" queryTableFieldId="8"/>
    <tableColumn id="9" xr3:uid="{87725330-8F0C-4532-867D-A5B3C211CB1C}" uniqueName="9" name="Total_Sales" queryTableFieldId="9"/>
    <tableColumn id="10" xr3:uid="{69744930-230F-40CF-8C0B-58CE608C2D9A}" uniqueName="10" name="Month" queryTableFieldId="10" dataDxfId="0">
      <calculatedColumnFormula>TEXT(Raw_Data[[#This Row],[Date]],"mmm")</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61F9-5991-4335-AD34-25264AAAF3D1}">
  <dimension ref="A1:J31"/>
  <sheetViews>
    <sheetView zoomScale="84" workbookViewId="0">
      <selection activeCell="E6" sqref="E6"/>
    </sheetView>
  </sheetViews>
  <sheetFormatPr defaultRowHeight="14.4" x14ac:dyDescent="0.3"/>
  <cols>
    <col min="1" max="1" width="10.5546875" bestFit="1" customWidth="1"/>
    <col min="2" max="2" width="10.33203125" bestFit="1" customWidth="1"/>
    <col min="3" max="3" width="9.77734375" bestFit="1" customWidth="1"/>
    <col min="4" max="4" width="16.109375" bestFit="1" customWidth="1"/>
    <col min="5" max="5" width="11.21875" bestFit="1" customWidth="1"/>
    <col min="6" max="6" width="10.88671875" bestFit="1" customWidth="1"/>
    <col min="7" max="7" width="10.33203125" bestFit="1" customWidth="1"/>
    <col min="8" max="8" width="11.77734375" bestFit="1" customWidth="1"/>
    <col min="9" max="9" width="12.6640625" bestFit="1" customWidth="1"/>
  </cols>
  <sheetData>
    <row r="1" spans="1:10" x14ac:dyDescent="0.3">
      <c r="A1" t="s">
        <v>0</v>
      </c>
      <c r="B1" t="s">
        <v>1</v>
      </c>
      <c r="C1" t="s">
        <v>2</v>
      </c>
      <c r="D1" t="s">
        <v>3</v>
      </c>
      <c r="E1" t="s">
        <v>4</v>
      </c>
      <c r="F1" t="s">
        <v>5</v>
      </c>
      <c r="G1" t="s">
        <v>6</v>
      </c>
      <c r="H1" t="s">
        <v>7</v>
      </c>
      <c r="I1" t="s">
        <v>8</v>
      </c>
      <c r="J1" t="s">
        <v>28</v>
      </c>
    </row>
    <row r="2" spans="1:10" x14ac:dyDescent="0.3">
      <c r="A2">
        <v>1001</v>
      </c>
      <c r="B2" s="1">
        <v>45292</v>
      </c>
      <c r="C2" t="s">
        <v>9</v>
      </c>
      <c r="D2" t="s">
        <v>10</v>
      </c>
      <c r="E2" t="s">
        <v>11</v>
      </c>
      <c r="F2" t="s">
        <v>12</v>
      </c>
      <c r="G2">
        <v>1</v>
      </c>
      <c r="H2">
        <v>55000</v>
      </c>
      <c r="I2">
        <v>55000</v>
      </c>
      <c r="J2" t="str">
        <f>TEXT(Raw_Data[[#This Row],[Date]],"mmm")</f>
        <v>Jan</v>
      </c>
    </row>
    <row r="3" spans="1:10" x14ac:dyDescent="0.3">
      <c r="A3">
        <v>1002</v>
      </c>
      <c r="B3" s="1">
        <v>45293</v>
      </c>
      <c r="C3" t="s">
        <v>13</v>
      </c>
      <c r="D3" t="s">
        <v>14</v>
      </c>
      <c r="E3" t="s">
        <v>15</v>
      </c>
      <c r="F3" t="s">
        <v>12</v>
      </c>
      <c r="G3">
        <v>2</v>
      </c>
      <c r="H3">
        <v>20000</v>
      </c>
      <c r="I3">
        <v>40000</v>
      </c>
      <c r="J3" t="str">
        <f>TEXT(Raw_Data[[#This Row],[Date]],"mmm")</f>
        <v>Jan</v>
      </c>
    </row>
    <row r="4" spans="1:10" x14ac:dyDescent="0.3">
      <c r="A4">
        <v>1003</v>
      </c>
      <c r="B4" s="1">
        <v>45294</v>
      </c>
      <c r="C4" t="s">
        <v>16</v>
      </c>
      <c r="D4" t="s">
        <v>17</v>
      </c>
      <c r="E4" t="s">
        <v>18</v>
      </c>
      <c r="F4" t="s">
        <v>12</v>
      </c>
      <c r="G4">
        <v>1</v>
      </c>
      <c r="H4">
        <v>25000</v>
      </c>
      <c r="I4">
        <v>25000</v>
      </c>
      <c r="J4" t="str">
        <f>TEXT(Raw_Data[[#This Row],[Date]],"mmm")</f>
        <v>Jan</v>
      </c>
    </row>
    <row r="5" spans="1:10" x14ac:dyDescent="0.3">
      <c r="A5">
        <v>1004</v>
      </c>
      <c r="B5" s="1">
        <v>45295</v>
      </c>
      <c r="C5" t="s">
        <v>19</v>
      </c>
      <c r="D5" t="s">
        <v>14</v>
      </c>
      <c r="E5" t="s">
        <v>20</v>
      </c>
      <c r="F5" t="s">
        <v>21</v>
      </c>
      <c r="G5">
        <v>3</v>
      </c>
      <c r="H5">
        <v>3000</v>
      </c>
      <c r="I5">
        <v>9000</v>
      </c>
      <c r="J5" t="str">
        <f>TEXT(Raw_Data[[#This Row],[Date]],"mmm")</f>
        <v>Jan</v>
      </c>
    </row>
    <row r="6" spans="1:10" x14ac:dyDescent="0.3">
      <c r="A6">
        <v>1005</v>
      </c>
      <c r="B6" s="1">
        <v>45296</v>
      </c>
      <c r="C6" t="s">
        <v>22</v>
      </c>
      <c r="D6" t="s">
        <v>10</v>
      </c>
      <c r="E6" t="s">
        <v>23</v>
      </c>
      <c r="F6" t="s">
        <v>12</v>
      </c>
      <c r="G6">
        <v>1</v>
      </c>
      <c r="H6">
        <v>18000</v>
      </c>
      <c r="I6">
        <v>18000</v>
      </c>
      <c r="J6" t="str">
        <f>TEXT(Raw_Data[[#This Row],[Date]],"mmm")</f>
        <v>Jan</v>
      </c>
    </row>
    <row r="7" spans="1:10" x14ac:dyDescent="0.3">
      <c r="A7">
        <v>1006</v>
      </c>
      <c r="B7" s="1">
        <v>45297</v>
      </c>
      <c r="C7" t="s">
        <v>9</v>
      </c>
      <c r="D7" t="s">
        <v>17</v>
      </c>
      <c r="E7" t="s">
        <v>24</v>
      </c>
      <c r="F7" t="s">
        <v>21</v>
      </c>
      <c r="G7">
        <v>2</v>
      </c>
      <c r="H7">
        <v>2500</v>
      </c>
      <c r="I7">
        <v>5000</v>
      </c>
      <c r="J7" t="str">
        <f>TEXT(Raw_Data[[#This Row],[Date]],"mmm")</f>
        <v>Jan</v>
      </c>
    </row>
    <row r="8" spans="1:10" x14ac:dyDescent="0.3">
      <c r="A8">
        <v>1007</v>
      </c>
      <c r="B8" s="1">
        <v>45298</v>
      </c>
      <c r="C8" t="s">
        <v>13</v>
      </c>
      <c r="D8" t="s">
        <v>10</v>
      </c>
      <c r="E8" t="s">
        <v>11</v>
      </c>
      <c r="F8" t="s">
        <v>12</v>
      </c>
      <c r="G8">
        <v>2</v>
      </c>
      <c r="H8">
        <v>52000</v>
      </c>
      <c r="I8">
        <v>104000</v>
      </c>
      <c r="J8" t="str">
        <f>TEXT(Raw_Data[[#This Row],[Date]],"mmm")</f>
        <v>Jan</v>
      </c>
    </row>
    <row r="9" spans="1:10" x14ac:dyDescent="0.3">
      <c r="A9">
        <v>1008</v>
      </c>
      <c r="B9" s="1">
        <v>45299</v>
      </c>
      <c r="C9" t="s">
        <v>16</v>
      </c>
      <c r="D9" t="s">
        <v>14</v>
      </c>
      <c r="E9" t="s">
        <v>15</v>
      </c>
      <c r="F9" t="s">
        <v>12</v>
      </c>
      <c r="G9">
        <v>1</v>
      </c>
      <c r="H9">
        <v>19000</v>
      </c>
      <c r="I9">
        <v>19000</v>
      </c>
      <c r="J9" t="str">
        <f>TEXT(Raw_Data[[#This Row],[Date]],"mmm")</f>
        <v>Jan</v>
      </c>
    </row>
    <row r="10" spans="1:10" x14ac:dyDescent="0.3">
      <c r="A10">
        <v>1009</v>
      </c>
      <c r="B10" s="1">
        <v>45300</v>
      </c>
      <c r="C10" t="s">
        <v>19</v>
      </c>
      <c r="D10" t="s">
        <v>17</v>
      </c>
      <c r="E10" t="s">
        <v>18</v>
      </c>
      <c r="F10" t="s">
        <v>12</v>
      </c>
      <c r="G10">
        <v>3</v>
      </c>
      <c r="H10">
        <v>23000</v>
      </c>
      <c r="I10">
        <v>69000</v>
      </c>
      <c r="J10" t="str">
        <f>TEXT(Raw_Data[[#This Row],[Date]],"mmm")</f>
        <v>Jan</v>
      </c>
    </row>
    <row r="11" spans="1:10" x14ac:dyDescent="0.3">
      <c r="A11">
        <v>1010</v>
      </c>
      <c r="B11" s="1">
        <v>45301</v>
      </c>
      <c r="C11" t="s">
        <v>22</v>
      </c>
      <c r="D11" t="s">
        <v>14</v>
      </c>
      <c r="E11" t="s">
        <v>20</v>
      </c>
      <c r="F11" t="s">
        <v>21</v>
      </c>
      <c r="G11">
        <v>1</v>
      </c>
      <c r="H11">
        <v>3200</v>
      </c>
      <c r="I11">
        <v>3200</v>
      </c>
      <c r="J11" t="str">
        <f>TEXT(Raw_Data[[#This Row],[Date]],"mmm")</f>
        <v>Jan</v>
      </c>
    </row>
    <row r="12" spans="1:10" x14ac:dyDescent="0.3">
      <c r="A12">
        <v>1011</v>
      </c>
      <c r="B12" s="1">
        <v>45302</v>
      </c>
      <c r="C12" t="s">
        <v>9</v>
      </c>
      <c r="D12" t="s">
        <v>10</v>
      </c>
      <c r="E12" t="s">
        <v>23</v>
      </c>
      <c r="F12" t="s">
        <v>12</v>
      </c>
      <c r="G12">
        <v>2</v>
      </c>
      <c r="H12">
        <v>17000</v>
      </c>
      <c r="I12">
        <v>34000</v>
      </c>
      <c r="J12" t="str">
        <f>TEXT(Raw_Data[[#This Row],[Date]],"mmm")</f>
        <v>Jan</v>
      </c>
    </row>
    <row r="13" spans="1:10" x14ac:dyDescent="0.3">
      <c r="A13">
        <v>1012</v>
      </c>
      <c r="B13" s="1">
        <v>45303</v>
      </c>
      <c r="C13" t="s">
        <v>13</v>
      </c>
      <c r="D13" t="s">
        <v>17</v>
      </c>
      <c r="E13" t="s">
        <v>24</v>
      </c>
      <c r="F13" t="s">
        <v>21</v>
      </c>
      <c r="G13">
        <v>1</v>
      </c>
      <c r="H13">
        <v>2600</v>
      </c>
      <c r="I13">
        <v>2600</v>
      </c>
      <c r="J13" t="str">
        <f>TEXT(Raw_Data[[#This Row],[Date]],"mmm")</f>
        <v>Jan</v>
      </c>
    </row>
    <row r="14" spans="1:10" x14ac:dyDescent="0.3">
      <c r="A14">
        <v>1013</v>
      </c>
      <c r="B14" s="1">
        <v>45304</v>
      </c>
      <c r="C14" t="s">
        <v>16</v>
      </c>
      <c r="D14" t="s">
        <v>10</v>
      </c>
      <c r="E14" t="s">
        <v>11</v>
      </c>
      <c r="F14" t="s">
        <v>12</v>
      </c>
      <c r="G14">
        <v>3</v>
      </c>
      <c r="H14">
        <v>50000</v>
      </c>
      <c r="I14">
        <v>150000</v>
      </c>
      <c r="J14" t="str">
        <f>TEXT(Raw_Data[[#This Row],[Date]],"mmm")</f>
        <v>Jan</v>
      </c>
    </row>
    <row r="15" spans="1:10" x14ac:dyDescent="0.3">
      <c r="A15">
        <v>1014</v>
      </c>
      <c r="B15" s="1">
        <v>45305</v>
      </c>
      <c r="C15" t="s">
        <v>19</v>
      </c>
      <c r="D15" t="s">
        <v>14</v>
      </c>
      <c r="E15" t="s">
        <v>15</v>
      </c>
      <c r="F15" t="s">
        <v>12</v>
      </c>
      <c r="G15">
        <v>2</v>
      </c>
      <c r="H15">
        <v>21000</v>
      </c>
      <c r="I15">
        <v>42000</v>
      </c>
      <c r="J15" t="str">
        <f>TEXT(Raw_Data[[#This Row],[Date]],"mmm")</f>
        <v>Jan</v>
      </c>
    </row>
    <row r="16" spans="1:10" x14ac:dyDescent="0.3">
      <c r="A16">
        <v>1015</v>
      </c>
      <c r="B16" s="1">
        <v>45306</v>
      </c>
      <c r="C16" t="s">
        <v>22</v>
      </c>
      <c r="D16" t="s">
        <v>17</v>
      </c>
      <c r="E16" t="s">
        <v>18</v>
      </c>
      <c r="F16" t="s">
        <v>12</v>
      </c>
      <c r="G16">
        <v>1</v>
      </c>
      <c r="H16">
        <v>24000</v>
      </c>
      <c r="I16">
        <v>24000</v>
      </c>
      <c r="J16" t="str">
        <f>TEXT(Raw_Data[[#This Row],[Date]],"mmm")</f>
        <v>Jan</v>
      </c>
    </row>
    <row r="17" spans="1:10" x14ac:dyDescent="0.3">
      <c r="A17">
        <v>1016</v>
      </c>
      <c r="B17" s="1">
        <v>45307</v>
      </c>
      <c r="C17" t="s">
        <v>9</v>
      </c>
      <c r="D17" t="s">
        <v>14</v>
      </c>
      <c r="E17" t="s">
        <v>20</v>
      </c>
      <c r="F17" t="s">
        <v>21</v>
      </c>
      <c r="G17">
        <v>1</v>
      </c>
      <c r="H17">
        <v>2900</v>
      </c>
      <c r="I17">
        <v>2900</v>
      </c>
      <c r="J17" t="str">
        <f>TEXT(Raw_Data[[#This Row],[Date]],"mmm")</f>
        <v>Jan</v>
      </c>
    </row>
    <row r="18" spans="1:10" x14ac:dyDescent="0.3">
      <c r="A18">
        <v>1017</v>
      </c>
      <c r="B18" s="1">
        <v>45308</v>
      </c>
      <c r="C18" t="s">
        <v>13</v>
      </c>
      <c r="D18" t="s">
        <v>10</v>
      </c>
      <c r="E18" t="s">
        <v>23</v>
      </c>
      <c r="F18" t="s">
        <v>12</v>
      </c>
      <c r="G18">
        <v>2</v>
      </c>
      <c r="H18">
        <v>16000</v>
      </c>
      <c r="I18">
        <v>32000</v>
      </c>
      <c r="J18" t="str">
        <f>TEXT(Raw_Data[[#This Row],[Date]],"mmm")</f>
        <v>Jan</v>
      </c>
    </row>
    <row r="19" spans="1:10" x14ac:dyDescent="0.3">
      <c r="A19">
        <v>1018</v>
      </c>
      <c r="B19" s="1">
        <v>45309</v>
      </c>
      <c r="C19" t="s">
        <v>16</v>
      </c>
      <c r="D19" t="s">
        <v>17</v>
      </c>
      <c r="E19" t="s">
        <v>24</v>
      </c>
      <c r="F19" t="s">
        <v>21</v>
      </c>
      <c r="G19">
        <v>1</v>
      </c>
      <c r="H19">
        <v>2700</v>
      </c>
      <c r="I19">
        <v>2700</v>
      </c>
      <c r="J19" t="str">
        <f>TEXT(Raw_Data[[#This Row],[Date]],"mmm")</f>
        <v>Jan</v>
      </c>
    </row>
    <row r="20" spans="1:10" x14ac:dyDescent="0.3">
      <c r="A20">
        <v>1019</v>
      </c>
      <c r="B20" s="1">
        <v>45310</v>
      </c>
      <c r="C20" t="s">
        <v>19</v>
      </c>
      <c r="D20" t="s">
        <v>10</v>
      </c>
      <c r="E20" t="s">
        <v>11</v>
      </c>
      <c r="F20" t="s">
        <v>12</v>
      </c>
      <c r="G20">
        <v>3</v>
      </c>
      <c r="H20">
        <v>51000</v>
      </c>
      <c r="I20">
        <v>153000</v>
      </c>
      <c r="J20" t="str">
        <f>TEXT(Raw_Data[[#This Row],[Date]],"mmm")</f>
        <v>Jan</v>
      </c>
    </row>
    <row r="21" spans="1:10" x14ac:dyDescent="0.3">
      <c r="A21">
        <v>1020</v>
      </c>
      <c r="B21" s="1">
        <v>45311</v>
      </c>
      <c r="C21" t="s">
        <v>22</v>
      </c>
      <c r="D21" t="s">
        <v>14</v>
      </c>
      <c r="E21" t="s">
        <v>15</v>
      </c>
      <c r="F21" t="s">
        <v>12</v>
      </c>
      <c r="G21">
        <v>1</v>
      </c>
      <c r="H21">
        <v>19500</v>
      </c>
      <c r="I21">
        <v>19500</v>
      </c>
      <c r="J21" t="str">
        <f>TEXT(Raw_Data[[#This Row],[Date]],"mmm")</f>
        <v>Jan</v>
      </c>
    </row>
    <row r="22" spans="1:10" x14ac:dyDescent="0.3">
      <c r="A22">
        <v>1021</v>
      </c>
      <c r="B22" s="1">
        <v>45312</v>
      </c>
      <c r="C22" t="s">
        <v>9</v>
      </c>
      <c r="D22" t="s">
        <v>17</v>
      </c>
      <c r="E22" t="s">
        <v>18</v>
      </c>
      <c r="F22" t="s">
        <v>12</v>
      </c>
      <c r="G22">
        <v>2</v>
      </c>
      <c r="H22">
        <v>22000</v>
      </c>
      <c r="I22">
        <v>44000</v>
      </c>
      <c r="J22" t="str">
        <f>TEXT(Raw_Data[[#This Row],[Date]],"mmm")</f>
        <v>Jan</v>
      </c>
    </row>
    <row r="23" spans="1:10" x14ac:dyDescent="0.3">
      <c r="A23">
        <v>1022</v>
      </c>
      <c r="B23" s="1">
        <v>45313</v>
      </c>
      <c r="C23" t="s">
        <v>13</v>
      </c>
      <c r="D23" t="s">
        <v>14</v>
      </c>
      <c r="E23" t="s">
        <v>20</v>
      </c>
      <c r="F23" t="s">
        <v>21</v>
      </c>
      <c r="G23">
        <v>1</v>
      </c>
      <c r="H23">
        <v>3100</v>
      </c>
      <c r="I23">
        <v>3100</v>
      </c>
      <c r="J23" t="str">
        <f>TEXT(Raw_Data[[#This Row],[Date]],"mmm")</f>
        <v>Jan</v>
      </c>
    </row>
    <row r="24" spans="1:10" x14ac:dyDescent="0.3">
      <c r="A24">
        <v>1023</v>
      </c>
      <c r="B24" s="1">
        <v>45314</v>
      </c>
      <c r="C24" t="s">
        <v>16</v>
      </c>
      <c r="D24" t="s">
        <v>10</v>
      </c>
      <c r="E24" t="s">
        <v>23</v>
      </c>
      <c r="F24" t="s">
        <v>12</v>
      </c>
      <c r="G24">
        <v>3</v>
      </c>
      <c r="H24">
        <v>17500</v>
      </c>
      <c r="I24">
        <v>52500</v>
      </c>
      <c r="J24" t="str">
        <f>TEXT(Raw_Data[[#This Row],[Date]],"mmm")</f>
        <v>Jan</v>
      </c>
    </row>
    <row r="25" spans="1:10" x14ac:dyDescent="0.3">
      <c r="A25">
        <v>1024</v>
      </c>
      <c r="B25" s="1">
        <v>45315</v>
      </c>
      <c r="C25" t="s">
        <v>19</v>
      </c>
      <c r="D25" t="s">
        <v>17</v>
      </c>
      <c r="E25" t="s">
        <v>24</v>
      </c>
      <c r="F25" t="s">
        <v>21</v>
      </c>
      <c r="G25">
        <v>2</v>
      </c>
      <c r="H25">
        <v>2800</v>
      </c>
      <c r="I25">
        <v>5600</v>
      </c>
      <c r="J25" t="str">
        <f>TEXT(Raw_Data[[#This Row],[Date]],"mmm")</f>
        <v>Jan</v>
      </c>
    </row>
    <row r="26" spans="1:10" x14ac:dyDescent="0.3">
      <c r="A26">
        <v>1025</v>
      </c>
      <c r="B26" s="1">
        <v>45316</v>
      </c>
      <c r="C26" t="s">
        <v>22</v>
      </c>
      <c r="D26" t="s">
        <v>10</v>
      </c>
      <c r="E26" t="s">
        <v>11</v>
      </c>
      <c r="F26" t="s">
        <v>12</v>
      </c>
      <c r="G26">
        <v>1</v>
      </c>
      <c r="H26">
        <v>49000</v>
      </c>
      <c r="I26">
        <v>49000</v>
      </c>
      <c r="J26" t="str">
        <f>TEXT(Raw_Data[[#This Row],[Date]],"mmm")</f>
        <v>Jan</v>
      </c>
    </row>
    <row r="27" spans="1:10" x14ac:dyDescent="0.3">
      <c r="A27">
        <v>1026</v>
      </c>
      <c r="B27" s="1">
        <v>45317</v>
      </c>
      <c r="C27" t="s">
        <v>9</v>
      </c>
      <c r="D27" t="s">
        <v>14</v>
      </c>
      <c r="E27" t="s">
        <v>15</v>
      </c>
      <c r="F27" t="s">
        <v>12</v>
      </c>
      <c r="G27">
        <v>1</v>
      </c>
      <c r="H27">
        <v>20500</v>
      </c>
      <c r="I27">
        <v>20500</v>
      </c>
      <c r="J27" t="str">
        <f>TEXT(Raw_Data[[#This Row],[Date]],"mmm")</f>
        <v>Jan</v>
      </c>
    </row>
    <row r="28" spans="1:10" x14ac:dyDescent="0.3">
      <c r="A28">
        <v>1027</v>
      </c>
      <c r="B28" s="1">
        <v>45318</v>
      </c>
      <c r="C28" t="s">
        <v>13</v>
      </c>
      <c r="D28" t="s">
        <v>17</v>
      </c>
      <c r="E28" t="s">
        <v>18</v>
      </c>
      <c r="F28" t="s">
        <v>12</v>
      </c>
      <c r="G28">
        <v>2</v>
      </c>
      <c r="H28">
        <v>23500</v>
      </c>
      <c r="I28">
        <v>47000</v>
      </c>
      <c r="J28" t="str">
        <f>TEXT(Raw_Data[[#This Row],[Date]],"mmm")</f>
        <v>Jan</v>
      </c>
    </row>
    <row r="29" spans="1:10" x14ac:dyDescent="0.3">
      <c r="A29">
        <v>1028</v>
      </c>
      <c r="B29" s="1">
        <v>45319</v>
      </c>
      <c r="C29" t="s">
        <v>16</v>
      </c>
      <c r="D29" t="s">
        <v>14</v>
      </c>
      <c r="E29" t="s">
        <v>20</v>
      </c>
      <c r="F29" t="s">
        <v>21</v>
      </c>
      <c r="G29">
        <v>1</v>
      </c>
      <c r="H29">
        <v>3300</v>
      </c>
      <c r="I29">
        <v>3300</v>
      </c>
      <c r="J29" t="str">
        <f>TEXT(Raw_Data[[#This Row],[Date]],"mmm")</f>
        <v>Jan</v>
      </c>
    </row>
    <row r="30" spans="1:10" x14ac:dyDescent="0.3">
      <c r="A30">
        <v>1029</v>
      </c>
      <c r="B30" s="1">
        <v>45320</v>
      </c>
      <c r="C30" t="s">
        <v>19</v>
      </c>
      <c r="D30" t="s">
        <v>10</v>
      </c>
      <c r="E30" t="s">
        <v>23</v>
      </c>
      <c r="F30" t="s">
        <v>12</v>
      </c>
      <c r="G30">
        <v>3</v>
      </c>
      <c r="H30">
        <v>16500</v>
      </c>
      <c r="I30">
        <v>49500</v>
      </c>
      <c r="J30" t="str">
        <f>TEXT(Raw_Data[[#This Row],[Date]],"mmm")</f>
        <v>Jan</v>
      </c>
    </row>
    <row r="31" spans="1:10" x14ac:dyDescent="0.3">
      <c r="A31">
        <v>1030</v>
      </c>
      <c r="B31" s="1">
        <v>45321</v>
      </c>
      <c r="C31" t="s">
        <v>22</v>
      </c>
      <c r="D31" t="s">
        <v>17</v>
      </c>
      <c r="E31" t="s">
        <v>24</v>
      </c>
      <c r="F31" t="s">
        <v>21</v>
      </c>
      <c r="G31">
        <v>1</v>
      </c>
      <c r="H31">
        <v>2600</v>
      </c>
      <c r="I31">
        <v>2600</v>
      </c>
      <c r="J31" t="str">
        <f>TEXT(Raw_Data[[#This Row],[Date]],"mmm")</f>
        <v>Jan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0E35F-21D4-4C23-8442-08AEDE4F5523}">
  <dimension ref="A3:B9"/>
  <sheetViews>
    <sheetView zoomScale="76" workbookViewId="0">
      <selection activeCell="A7" sqref="A7"/>
    </sheetView>
  </sheetViews>
  <sheetFormatPr defaultRowHeight="14.4" x14ac:dyDescent="0.3"/>
  <cols>
    <col min="1" max="1" width="13.21875" bestFit="1" customWidth="1"/>
    <col min="2" max="2" width="17.109375" bestFit="1" customWidth="1"/>
  </cols>
  <sheetData>
    <row r="3" spans="1:2" x14ac:dyDescent="0.3">
      <c r="A3" s="2" t="s">
        <v>25</v>
      </c>
      <c r="B3" t="s">
        <v>27</v>
      </c>
    </row>
    <row r="4" spans="1:2" x14ac:dyDescent="0.3">
      <c r="A4" s="3" t="s">
        <v>16</v>
      </c>
      <c r="B4">
        <v>252500</v>
      </c>
    </row>
    <row r="5" spans="1:2" x14ac:dyDescent="0.3">
      <c r="A5" s="3" t="s">
        <v>19</v>
      </c>
      <c r="B5">
        <v>328100</v>
      </c>
    </row>
    <row r="6" spans="1:2" x14ac:dyDescent="0.3">
      <c r="A6" s="3" t="s">
        <v>9</v>
      </c>
      <c r="B6">
        <v>161400</v>
      </c>
    </row>
    <row r="7" spans="1:2" x14ac:dyDescent="0.3">
      <c r="A7" s="3" t="s">
        <v>22</v>
      </c>
      <c r="B7">
        <v>116300</v>
      </c>
    </row>
    <row r="8" spans="1:2" x14ac:dyDescent="0.3">
      <c r="A8" s="3" t="s">
        <v>13</v>
      </c>
      <c r="B8">
        <v>228700</v>
      </c>
    </row>
    <row r="9" spans="1:2" x14ac:dyDescent="0.3">
      <c r="A9" s="3" t="s">
        <v>26</v>
      </c>
      <c r="B9">
        <v>1087000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0338-2D3D-49C9-A4C2-47DFD458B9CB}">
  <dimension ref="A3:B10"/>
  <sheetViews>
    <sheetView workbookViewId="0">
      <selection activeCell="G9" sqref="G9"/>
    </sheetView>
  </sheetViews>
  <sheetFormatPr defaultRowHeight="14.4" x14ac:dyDescent="0.3"/>
  <cols>
    <col min="1" max="1" width="12.44140625" bestFit="1" customWidth="1"/>
    <col min="2" max="2" width="16.5546875" bestFit="1" customWidth="1"/>
  </cols>
  <sheetData>
    <row r="3" spans="1:2" x14ac:dyDescent="0.3">
      <c r="A3" s="2" t="s">
        <v>25</v>
      </c>
      <c r="B3" t="s">
        <v>27</v>
      </c>
    </row>
    <row r="4" spans="1:2" x14ac:dyDescent="0.3">
      <c r="A4" s="3" t="s">
        <v>20</v>
      </c>
      <c r="B4">
        <v>21500</v>
      </c>
    </row>
    <row r="5" spans="1:2" x14ac:dyDescent="0.3">
      <c r="A5" s="3" t="s">
        <v>24</v>
      </c>
      <c r="B5">
        <v>18500</v>
      </c>
    </row>
    <row r="6" spans="1:2" x14ac:dyDescent="0.3">
      <c r="A6" s="3" t="s">
        <v>11</v>
      </c>
      <c r="B6">
        <v>511000</v>
      </c>
    </row>
    <row r="7" spans="1:2" x14ac:dyDescent="0.3">
      <c r="A7" s="3" t="s">
        <v>23</v>
      </c>
      <c r="B7">
        <v>186000</v>
      </c>
    </row>
    <row r="8" spans="1:2" x14ac:dyDescent="0.3">
      <c r="A8" s="3" t="s">
        <v>15</v>
      </c>
      <c r="B8">
        <v>141000</v>
      </c>
    </row>
    <row r="9" spans="1:2" x14ac:dyDescent="0.3">
      <c r="A9" s="3" t="s">
        <v>18</v>
      </c>
      <c r="B9">
        <v>209000</v>
      </c>
    </row>
    <row r="10" spans="1:2" x14ac:dyDescent="0.3">
      <c r="A10" s="3" t="s">
        <v>26</v>
      </c>
      <c r="B10">
        <v>1087000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9FB1E-7902-4375-A1E9-5EA0D23D3D63}">
  <dimension ref="A3:B7"/>
  <sheetViews>
    <sheetView workbookViewId="0">
      <selection activeCell="G7" sqref="G7"/>
    </sheetView>
  </sheetViews>
  <sheetFormatPr defaultRowHeight="14.4" x14ac:dyDescent="0.3"/>
  <cols>
    <col min="1" max="1" width="12.44140625" bestFit="1" customWidth="1"/>
    <col min="2" max="2" width="16.5546875" bestFit="1" customWidth="1"/>
  </cols>
  <sheetData>
    <row r="3" spans="1:2" x14ac:dyDescent="0.3">
      <c r="A3" s="2" t="s">
        <v>25</v>
      </c>
      <c r="B3" t="s">
        <v>27</v>
      </c>
    </row>
    <row r="4" spans="1:2" x14ac:dyDescent="0.3">
      <c r="A4" s="3" t="s">
        <v>10</v>
      </c>
      <c r="B4">
        <v>697000</v>
      </c>
    </row>
    <row r="5" spans="1:2" x14ac:dyDescent="0.3">
      <c r="A5" s="3" t="s">
        <v>14</v>
      </c>
      <c r="B5">
        <v>162500</v>
      </c>
    </row>
    <row r="6" spans="1:2" x14ac:dyDescent="0.3">
      <c r="A6" s="3" t="s">
        <v>17</v>
      </c>
      <c r="B6">
        <v>227500</v>
      </c>
    </row>
    <row r="7" spans="1:2" x14ac:dyDescent="0.3">
      <c r="A7" s="3" t="s">
        <v>26</v>
      </c>
      <c r="B7">
        <v>1087000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90A6-6240-4491-BD95-516C2A15B296}">
  <dimension ref="A3:B34"/>
  <sheetViews>
    <sheetView workbookViewId="0">
      <selection activeCell="L22" sqref="L22"/>
    </sheetView>
  </sheetViews>
  <sheetFormatPr defaultRowHeight="14.4" x14ac:dyDescent="0.3"/>
  <cols>
    <col min="1" max="1" width="12.44140625" bestFit="1" customWidth="1"/>
    <col min="2" max="2" width="16.5546875" bestFit="1" customWidth="1"/>
  </cols>
  <sheetData>
    <row r="3" spans="1:2" x14ac:dyDescent="0.3">
      <c r="A3" s="2" t="s">
        <v>25</v>
      </c>
      <c r="B3" t="s">
        <v>27</v>
      </c>
    </row>
    <row r="4" spans="1:2" x14ac:dyDescent="0.3">
      <c r="A4" s="4">
        <v>45292</v>
      </c>
      <c r="B4">
        <v>55000</v>
      </c>
    </row>
    <row r="5" spans="1:2" x14ac:dyDescent="0.3">
      <c r="A5" s="4">
        <v>45293</v>
      </c>
      <c r="B5">
        <v>40000</v>
      </c>
    </row>
    <row r="6" spans="1:2" x14ac:dyDescent="0.3">
      <c r="A6" s="4">
        <v>45294</v>
      </c>
      <c r="B6">
        <v>25000</v>
      </c>
    </row>
    <row r="7" spans="1:2" x14ac:dyDescent="0.3">
      <c r="A7" s="4">
        <v>45295</v>
      </c>
      <c r="B7">
        <v>9000</v>
      </c>
    </row>
    <row r="8" spans="1:2" x14ac:dyDescent="0.3">
      <c r="A8" s="4">
        <v>45296</v>
      </c>
      <c r="B8">
        <v>18000</v>
      </c>
    </row>
    <row r="9" spans="1:2" x14ac:dyDescent="0.3">
      <c r="A9" s="4">
        <v>45297</v>
      </c>
      <c r="B9">
        <v>5000</v>
      </c>
    </row>
    <row r="10" spans="1:2" x14ac:dyDescent="0.3">
      <c r="A10" s="4">
        <v>45298</v>
      </c>
      <c r="B10">
        <v>104000</v>
      </c>
    </row>
    <row r="11" spans="1:2" x14ac:dyDescent="0.3">
      <c r="A11" s="4">
        <v>45299</v>
      </c>
      <c r="B11">
        <v>19000</v>
      </c>
    </row>
    <row r="12" spans="1:2" x14ac:dyDescent="0.3">
      <c r="A12" s="4">
        <v>45300</v>
      </c>
      <c r="B12">
        <v>69000</v>
      </c>
    </row>
    <row r="13" spans="1:2" x14ac:dyDescent="0.3">
      <c r="A13" s="4">
        <v>45301</v>
      </c>
      <c r="B13">
        <v>3200</v>
      </c>
    </row>
    <row r="14" spans="1:2" x14ac:dyDescent="0.3">
      <c r="A14" s="4">
        <v>45302</v>
      </c>
      <c r="B14">
        <v>34000</v>
      </c>
    </row>
    <row r="15" spans="1:2" x14ac:dyDescent="0.3">
      <c r="A15" s="4">
        <v>45303</v>
      </c>
      <c r="B15">
        <v>2600</v>
      </c>
    </row>
    <row r="16" spans="1:2" x14ac:dyDescent="0.3">
      <c r="A16" s="4">
        <v>45304</v>
      </c>
      <c r="B16">
        <v>150000</v>
      </c>
    </row>
    <row r="17" spans="1:2" x14ac:dyDescent="0.3">
      <c r="A17" s="4">
        <v>45305</v>
      </c>
      <c r="B17">
        <v>42000</v>
      </c>
    </row>
    <row r="18" spans="1:2" x14ac:dyDescent="0.3">
      <c r="A18" s="4">
        <v>45306</v>
      </c>
      <c r="B18">
        <v>24000</v>
      </c>
    </row>
    <row r="19" spans="1:2" x14ac:dyDescent="0.3">
      <c r="A19" s="4">
        <v>45307</v>
      </c>
      <c r="B19">
        <v>2900</v>
      </c>
    </row>
    <row r="20" spans="1:2" x14ac:dyDescent="0.3">
      <c r="A20" s="4">
        <v>45308</v>
      </c>
      <c r="B20">
        <v>32000</v>
      </c>
    </row>
    <row r="21" spans="1:2" x14ac:dyDescent="0.3">
      <c r="A21" s="4">
        <v>45309</v>
      </c>
      <c r="B21">
        <v>2700</v>
      </c>
    </row>
    <row r="22" spans="1:2" x14ac:dyDescent="0.3">
      <c r="A22" s="4">
        <v>45310</v>
      </c>
      <c r="B22">
        <v>153000</v>
      </c>
    </row>
    <row r="23" spans="1:2" x14ac:dyDescent="0.3">
      <c r="A23" s="4">
        <v>45311</v>
      </c>
      <c r="B23">
        <v>19500</v>
      </c>
    </row>
    <row r="24" spans="1:2" x14ac:dyDescent="0.3">
      <c r="A24" s="4">
        <v>45312</v>
      </c>
      <c r="B24">
        <v>44000</v>
      </c>
    </row>
    <row r="25" spans="1:2" x14ac:dyDescent="0.3">
      <c r="A25" s="4">
        <v>45313</v>
      </c>
      <c r="B25">
        <v>3100</v>
      </c>
    </row>
    <row r="26" spans="1:2" x14ac:dyDescent="0.3">
      <c r="A26" s="4">
        <v>45314</v>
      </c>
      <c r="B26">
        <v>52500</v>
      </c>
    </row>
    <row r="27" spans="1:2" x14ac:dyDescent="0.3">
      <c r="A27" s="4">
        <v>45315</v>
      </c>
      <c r="B27">
        <v>5600</v>
      </c>
    </row>
    <row r="28" spans="1:2" x14ac:dyDescent="0.3">
      <c r="A28" s="4">
        <v>45316</v>
      </c>
      <c r="B28">
        <v>49000</v>
      </c>
    </row>
    <row r="29" spans="1:2" x14ac:dyDescent="0.3">
      <c r="A29" s="4">
        <v>45317</v>
      </c>
      <c r="B29">
        <v>20500</v>
      </c>
    </row>
    <row r="30" spans="1:2" x14ac:dyDescent="0.3">
      <c r="A30" s="4">
        <v>45318</v>
      </c>
      <c r="B30">
        <v>47000</v>
      </c>
    </row>
    <row r="31" spans="1:2" x14ac:dyDescent="0.3">
      <c r="A31" s="4">
        <v>45319</v>
      </c>
      <c r="B31">
        <v>3300</v>
      </c>
    </row>
    <row r="32" spans="1:2" x14ac:dyDescent="0.3">
      <c r="A32" s="4">
        <v>45320</v>
      </c>
      <c r="B32">
        <v>49500</v>
      </c>
    </row>
    <row r="33" spans="1:2" x14ac:dyDescent="0.3">
      <c r="A33" s="4">
        <v>45321</v>
      </c>
      <c r="B33">
        <v>2600</v>
      </c>
    </row>
    <row r="34" spans="1:2" x14ac:dyDescent="0.3">
      <c r="A34" s="4" t="s">
        <v>26</v>
      </c>
      <c r="B34">
        <v>1087000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04B4-89E0-4A87-A057-0AF4FB2032F3}">
  <dimension ref="B2:R42"/>
  <sheetViews>
    <sheetView showGridLines="0" tabSelected="1" zoomScale="60" workbookViewId="0">
      <selection activeCell="V15" sqref="V15"/>
    </sheetView>
  </sheetViews>
  <sheetFormatPr defaultRowHeight="14.4" x14ac:dyDescent="0.3"/>
  <sheetData>
    <row r="2" spans="2:18" ht="14.4" customHeight="1" x14ac:dyDescent="0.3">
      <c r="B2" s="6" t="s">
        <v>29</v>
      </c>
      <c r="C2" s="6"/>
      <c r="D2" s="6"/>
      <c r="E2" s="6"/>
      <c r="F2" s="6"/>
      <c r="G2" s="6"/>
      <c r="H2" s="6"/>
      <c r="I2" s="6"/>
      <c r="J2" s="6"/>
      <c r="K2" s="6"/>
      <c r="L2" s="6"/>
      <c r="M2" s="6"/>
      <c r="N2" s="6"/>
      <c r="O2" s="6"/>
      <c r="P2" s="6"/>
      <c r="Q2" s="6"/>
      <c r="R2" s="6"/>
    </row>
    <row r="3" spans="2:18" ht="14.4" customHeight="1" x14ac:dyDescent="0.3">
      <c r="B3" s="6"/>
      <c r="C3" s="6"/>
      <c r="D3" s="6"/>
      <c r="E3" s="6"/>
      <c r="F3" s="6"/>
      <c r="G3" s="6"/>
      <c r="H3" s="6"/>
      <c r="I3" s="6"/>
      <c r="J3" s="6"/>
      <c r="K3" s="6"/>
      <c r="L3" s="6"/>
      <c r="M3" s="6"/>
      <c r="N3" s="6"/>
      <c r="O3" s="6"/>
      <c r="P3" s="6"/>
      <c r="Q3" s="6"/>
      <c r="R3" s="6"/>
    </row>
    <row r="23" spans="4:16" x14ac:dyDescent="0.3">
      <c r="D23" s="5"/>
      <c r="E23" s="5"/>
      <c r="F23" s="5"/>
      <c r="G23" s="5"/>
      <c r="M23" s="5"/>
      <c r="N23" s="5"/>
      <c r="O23" s="5"/>
      <c r="P23" s="5"/>
    </row>
    <row r="42" spans="4:16" x14ac:dyDescent="0.3">
      <c r="D42" s="5"/>
      <c r="E42" s="5"/>
      <c r="F42" s="5"/>
      <c r="G42" s="5"/>
      <c r="M42" s="5"/>
      <c r="N42" s="5"/>
      <c r="O42" s="5"/>
      <c r="P42" s="5"/>
    </row>
  </sheetData>
  <mergeCells count="1">
    <mergeCell ref="B2: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F19604-D89F-4DF8-B0FE-6C4258A359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sales_cities</vt:lpstr>
      <vt:lpstr>sales_product</vt:lpstr>
      <vt:lpstr>sales_customertype</vt:lpstr>
      <vt:lpstr>daily_salestrend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Vaidhi Prajapati</dc:creator>
  <cp:lastModifiedBy>Vaidhi Prajapati</cp:lastModifiedBy>
  <dcterms:created xsi:type="dcterms:W3CDTF">2026-02-09T08:07:17Z</dcterms:created>
  <dcterms:modified xsi:type="dcterms:W3CDTF">2026-02-13T08:41:59Z</dcterms:modified>
</cp:coreProperties>
</file>